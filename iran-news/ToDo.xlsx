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<sst xmlns="http://schemas.openxmlformats.org/spreadsheetml/2006/main" count="198" uniqueCount="97">
  <si>
    <t>ETU003268</t>
  </si>
  <si>
    <t>Harena</t>
  </si>
  <si>
    <t>ETU003310</t>
  </si>
  <si>
    <t>Fifaliana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</si>
  <si>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</si>
  <si>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</si>
  <si>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</si>
  <si>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</si>
  <si>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</si>
  <si>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</si>
  <si>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</si>
  <si>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</si>
  <si>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</si>
  <si>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</si>
  <si>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</si>
  <si>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Infrastructure</t>
  </si>
  <si>
    <t>Setup</t>
  </si>
  <si>
    <t>-</t>
  </si>
  <si>
    <t>Init dépôt Git + structure dossiers PHP</t>
  </si>
  <si>
    <t>Technique</t>
  </si>
  <si>
    <t>Docker</t>
  </si>
  <si>
    <t>Dockerfile (PHP + Apache) + docker-compose</t>
  </si>
  <si>
    <t>Base de données</t>
  </si>
  <si>
    <t>Modélisation</t>
  </si>
  <si>
    <t>Schéma DB : tables articles, catégories, images</t>
  </si>
  <si>
    <t>Base</t>
  </si>
  <si>
    <t>Script SQL de création + données de test</t>
  </si>
  <si>
    <t>Backoffice</t>
  </si>
  <si>
    <t>Utilisateurs</t>
  </si>
  <si>
    <t>register.php</t>
  </si>
  <si>
    <t>Formulaire d'inscription</t>
  </si>
  <si>
    <t>Métier</t>
  </si>
  <si>
    <t>login.php</t>
  </si>
  <si>
    <t>Page de connexion + vérification session</t>
  </si>
  <si>
    <t>Sécurité</t>
  </si>
  <si>
    <t>logout.php</t>
  </si>
  <si>
    <t>Destruction de la session</t>
  </si>
  <si>
    <t>Sécurisation de toutes les pages BO (check session)</t>
  </si>
  <si>
    <t>Gestion Catégorie</t>
  </si>
  <si>
    <t>categorie.php</t>
  </si>
  <si>
    <t>Liste des catégories</t>
  </si>
  <si>
    <t>Affichage</t>
  </si>
  <si>
    <t>categorie-add.php</t>
  </si>
  <si>
    <t>Ajout catégorie : formulaire HTML</t>
  </si>
  <si>
    <t>traitement-categorie.php</t>
  </si>
  <si>
    <t>Traitement ajout catégorie en base</t>
  </si>
  <si>
    <t>categorie-edit.php</t>
  </si>
  <si>
    <t>Modification/suppression catégorie</t>
  </si>
  <si>
    <t>Gestion Article</t>
  </si>
  <si>
    <t>article-add.php</t>
  </si>
  <si>
    <t>Formulaire ajout article : champs HTML + images + articles référencés</t>
  </si>
  <si>
    <t>Intégration TinyMCE pour saisie HTML du contenu</t>
  </si>
  <si>
    <t>traitement-add.php</t>
  </si>
  <si>
    <t>Upload images sur serveur</t>
  </si>
  <si>
    <t>Insertion article en base (contenu HTML + images + références)</t>
  </si>
  <si>
    <t>article-list.php</t>
  </si>
  <si>
    <t>Liste articles + boutons édition/suppression</t>
  </si>
  <si>
    <t>article-edit.php</t>
  </si>
  <si>
    <t>Modification article (TinyMCE + images)</t>
  </si>
  <si>
    <t>Frontoffice</t>
  </si>
  <si>
    <t>Structure</t>
  </si>
  <si>
    <t>layout.php</t>
  </si>
  <si>
    <t>Gabarit commun (header, nav, footer) avec h1-h6 sémantiques</t>
  </si>
  <si>
    <t>Accueil</t>
  </si>
  <si>
    <t>index.php</t>
  </si>
  <si>
    <t>Liste articles par catégorie</t>
  </si>
  <si>
    <t>Article</t>
  </si>
  <si>
    <t>article.php</t>
  </si>
  <si>
    <t>Affichage article complet + articles référencés</t>
  </si>
  <si>
    <t>SEO</t>
  </si>
  <si>
    <t>.htaccess</t>
  </si>
  <si>
    <t>URL Rewriting (ex: /article/guerre-iran-2024)</t>
  </si>
  <si>
    <t>toutes pages</t>
  </si>
  <si>
    <t>Balises méta dynamiques (title, description)</t>
  </si>
  <si>
    <t>Alt sur toutes les images</t>
  </si>
  <si>
    <t>Livraison</t>
  </si>
  <si>
    <t>Audit</t>
  </si>
  <si>
    <t>Test Lighthouse mobile + desktop (score ≥ 90)</t>
  </si>
  <si>
    <t>Intégration</t>
  </si>
  <si>
    <t>Documentation</t>
  </si>
  <si>
    <t>doc-technique.pdf</t>
  </si>
  <si>
    <t>Captures FO/BO, schéma DB, identifiants BO, numéros ETU</t>
  </si>
  <si>
    <t>Packaging</t>
  </si>
  <si>
    <t>ZIP du projet fonctionnel + lien dépôt public Git</t>
  </si>
  <si>
    <t>Acceuil</t>
  </si>
  <si>
    <t>Optimisation frontoffice</t>
  </si>
  <si>
    <t>SUM of Estimation</t>
  </si>
  <si>
    <t>SUM of Temps passé</t>
  </si>
  <si>
    <t>SUM of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</si>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</sst>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Liberation Serif"/>
    </font>
    <font>
      <color rgb="FF000000"/>
      <name val="&quot;Segoe WPC&quot;"/>
    </font>
    <font>
      <color rgb="FF000000"/>
      <name val="Arial"/>
    </font>
    <font>
      <b/>
      <color rgb="FF000000"/>
      <name val="Arial"/>
    </font>
    <font>
      <b/>
      <color rgb="FF000000"/>
      <name val="&quot;Segoe WPC&quot;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52526"/>
        <bgColor rgb="FF252526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  <border>
      <left style="thin">
        <color rgb="FF6B7280"/>
      </left>
      <right style="thin">
        <color rgb="FF6B7280"/>
      </right>
      <top style="thin">
        <color rgb="FF6B7280"/>
      </top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2" fontId="4" numFmtId="0" xfId="0" applyAlignment="1" applyBorder="1" applyFill="1" applyFont="1">
      <alignment readingOrder="0" shrinkToFit="0" vertical="center" wrapText="0"/>
    </xf>
    <xf borderId="2" fillId="2" fontId="4" numFmtId="0" xfId="0" applyAlignment="1" applyBorder="1" applyFont="1">
      <alignment horizontal="left" readingOrder="0" shrinkToFit="0" vertical="center" wrapText="0"/>
    </xf>
    <xf borderId="2" fillId="2" fontId="5" numFmtId="0" xfId="0" applyAlignment="1" applyBorder="1" applyFont="1">
      <alignment horizontal="left"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0" fillId="3" fontId="6" numFmtId="0" xfId="0" applyAlignment="1" applyFill="1" applyFont="1">
      <alignment horizontal="left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2" fillId="3" fontId="5" numFmtId="0" xfId="0" applyAlignment="1" applyBorder="1" applyFont="1">
      <alignment horizontal="left"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2" fillId="3" fontId="5" numFmtId="0" xfId="0" applyAlignment="1" applyBorder="1" applyFont="1">
      <alignment horizontal="left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2" fillId="3" fontId="4" numFmtId="0" xfId="0" applyAlignment="1" applyBorder="1" applyFont="1">
      <alignment horizontal="left" readingOrder="0" shrinkToFit="0" vertical="center" wrapText="0"/>
    </xf>
    <xf borderId="2" fillId="3" fontId="8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horizontal="left"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0" numFmtId="0" xfId="0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4" fillId="0" fontId="11" numFmtId="0" xfId="0" applyBorder="1" applyFont="1"/>
    <xf borderId="7" fillId="0" fontId="11" numFmtId="0" xfId="0" applyBorder="1" applyFont="1"/>
    <xf borderId="8" fillId="0" fontId="11" numFmtId="0" xfId="0" applyBorder="1" applyFont="1"/>
    <xf borderId="9" fillId="0" fontId="11" numFmtId="0" xfId="0" applyBorder="1" applyFont="1"/>
    <xf borderId="9" fillId="0" fontId="11" numFmtId="0" xfId="0" applyBorder="1" applyFont="1"/>
    <xf borderId="0" fillId="0" fontId="11" numFmtId="0" xfId="0" applyFont="1"/>
    <xf borderId="10" fillId="0" fontId="11" numFmtId="0" xfId="0" applyBorder="1" applyFont="1"/>
    <xf borderId="0" fillId="0" fontId="11" numFmtId="0" xfId="0" applyFont="1"/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14" fillId="4" fontId="12" numFmtId="0" xfId="0" applyBorder="1" applyFill="1" applyFont="1"/>
    <xf borderId="14" fillId="4" fontId="12" numFmtId="10" xfId="0" applyBorder="1" applyFont="1" applyNumberFormat="1"/>
    <xf borderId="14" fillId="5" fontId="13" numFmtId="0" xfId="0" applyBorder="1" applyFill="1" applyFont="1"/>
    <xf borderId="0" fillId="0" fontId="14" numFmtId="0" xfId="0" applyAlignment="1" applyFont="1">
      <alignment horizontal="right"/>
    </xf>
    <xf borderId="0" fillId="0" fontId="14" numFmtId="10" xfId="0" applyAlignment="1" applyFont="1" applyNumberFormat="1">
      <alignment horizontal="right"/>
    </xf>
    <xf borderId="0" fillId="0" fontId="14" numFmtId="9" xfId="0" applyAlignment="1" applyFont="1" applyNumberFormat="1">
      <alignment horizontal="right"/>
    </xf>
    <xf borderId="0" fillId="0" fontId="14" numFmtId="0" xfId="0" applyFont="1"/>
    <xf borderId="14" fillId="5" fontId="15" numFmtId="0" xfId="0" applyBorder="1" applyFont="1"/>
    <xf borderId="0" fillId="0" fontId="15" numFmtId="0" xfId="0" applyFont="1"/>
    <xf borderId="0" fillId="0" fontId="15" numFmtId="164" xfId="0" applyAlignment="1" applyFont="1" applyNumberFormat="1">
      <alignment horizontal="right"/>
    </xf>
    <xf borderId="1" fillId="0" fontId="1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0" fontId="14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4" pivot="0" name="liste des ta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etail_avancement-style">
      <tableStyleElement dxfId="2" type="firstRowStripe"/>
      <tableStyleElement dxfId="3" type="secondRowStripe"/>
    </tableStyle>
    <tableStyle count="2" pivot="0" name="detail_avancemen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4" sheet="liste des taches"/>
  </cacheSource>
  <cacheFields>
    <cacheField name="Catégorie" numFmtId="0">
      <sharedItems>
        <s v="Infrastructure"/>
        <s v="Base de données"/>
        <s v="Backoffice"/>
      </sharedItems>
    </cacheField>
    <cacheField name="Module" numFmtId="0">
      <sharedItems>
        <s v="Setup"/>
        <s v="Docker"/>
        <s v="Modélisation"/>
        <s v="Utilisateurs"/>
        <s v="Sécurité"/>
        <s v="Gestion Catégorie"/>
        <s v="Gestion Article"/>
      </sharedItems>
    </cacheField>
    <cacheField name="Page" numFmtId="0">
      <sharedItems>
        <s v="-"/>
        <s v="register.php"/>
        <s v="login.php"/>
        <s v="logout.php"/>
        <s v="categorie.php"/>
        <s v="categorie-add.php"/>
        <s v="traitement-categorie.php"/>
        <s v="categorie-edit.php"/>
        <s v="article-add.php"/>
      </sharedItems>
    </cacheField>
    <cacheField name="Description tâche" numFmtId="0">
      <sharedItems>
        <s v="Init dépôt Git + structure dossiers PHP"/>
        <s v="Dockerfile (PHP + Apache) + docker-compose"/>
        <s v="Schéma DB : tables articles, catégories, images"/>
        <s v="Script SQL de création + données de test"/>
        <s v="Formulaire d'inscription"/>
        <s v="Page de connexion + vérification session"/>
        <s v="Destruction de la session"/>
        <s v="Sécurisation de toutes les pages BO (check session)"/>
        <s v="Liste des catégories"/>
        <s v="Ajout catégorie : formulaire HTML"/>
        <s v="Traitement ajout catégorie en base"/>
        <s v="Modification/suppression catégorie"/>
        <s v="Formulaire ajout article : champs HTML + images + articles référencés"/>
      </sharedItems>
    </cacheField>
    <cacheField name="Type" numFmtId="0">
      <sharedItems>
        <s v="Technique"/>
        <s v="Base"/>
        <s v="Métier"/>
        <s v="Sécurité"/>
        <s v="Affichage"/>
      </sharedItems>
    </cacheField>
    <cacheField name="Qui" numFmtId="0">
      <sharedItems>
        <s v="ETU003268"/>
        <s v="ETU003310"/>
      </sharedItems>
    </cacheField>
    <cacheField name="Estimation" numFmtId="0">
      <sharedItems containsSemiMixedTypes="0" containsString="0" containsNumber="1" containsInteger="1">
        <n v="10.0"/>
        <n v="15.0"/>
        <n v="30.0"/>
        <n v="20.0"/>
      </sharedItems>
    </cacheField>
    <cacheField name="Temps passé" numFmtId="0">
      <sharedItems containsSemiMixedTypes="0" containsString="0" containsNumber="1" containsInteger="1">
        <n v="10.0"/>
        <n v="15.0"/>
        <n v="30.0"/>
        <n v="20.0"/>
      </sharedItems>
    </cacheField>
    <cacheField name="Reste à faire" numFmtId="0">
      <sharedItems containsSemiMixedTypes="0" containsString="0" containsNumber="1" containsInteger="1">
        <n v="0.0"/>
      </sharedItems>
    </cacheField>
    <cacheField name="Avancement" numFmtId="10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4" firstHeaderRow="0" firstDataRow="2" firstDataCol="0"/>
  <pivotFields>
    <pivotField name="Catégorie" compact="0" outline="0" multipleItemSelectionAllowed="1" showAll="0">
      <items>
        <item x="0"/>
        <item x="1"/>
        <item x="2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scription tâc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i" axis="axisRow" compact="0" outline="0" multipleItemSelectionAllowed="1" showAll="0" sortType="ascending">
      <items>
        <item x="0"/>
        <item x="1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t="default"/>
      </items>
    </pivotField>
    <pivotField name="Reste à faire" dataField="1" compact="0" outline="0" multipleItemSelectionAllowed="1" showAll="0">
      <items>
        <item x="0"/>
        <item t="default"/>
      </items>
    </pivotField>
    <pivotField name="Avancement" compact="0" numFmtId="10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ables/table1.xml><?xml version="1.0" encoding="utf-8"?>
<table xmlns="http://schemas.openxmlformats.org/spreadsheetml/2006/main" ref="A1:K29" displayName="Tableau1" name="Tableau1" id="1">
  <tableColumns count="11">
    <tableColumn name="Ligne" id="1"/>
    <tableColumn name="Catégorie" id="2"/>
    <tableColumn name="Module" id="3"/>
    <tableColumn name="Page" id="4"/>
    <tableColumn name="Description tâche" id="5"/>
    <tableColumn name="Type" id="6"/>
    <tableColumn name="Qui" id="7"/>
    <tableColumn name="Estimation" id="8"/>
    <tableColumn name="Temps passé" id="9"/>
    <tableColumn name="Reste à faire" id="10"/>
    <tableColumn name="Avancement" id="11"/>
  </tableColumns>
  <tableStyleInfo name="liste des tache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30" displayName="Table_1" name="Table_1" id="2">
  <tableColumns count="1">
    <tableColumn name="Column1" id="1"/>
  </tableColumns>
  <tableStyleInfo name="detail_avancement-style" showColumnStripes="0" showFirstColumn="1" showLastColumn="1" showRowStripes="1"/>
</table>
</file>

<file path=xl/tables/table3.xml><?xml version="1.0" encoding="utf-8"?>
<table xmlns="http://schemas.openxmlformats.org/spreadsheetml/2006/main" headerRowCount="0" ref="C10:C25" displayName="Table_2" name="Table_2" id="3">
  <tableColumns count="1">
    <tableColumn name="Column1" id="1"/>
  </tableColumns>
  <tableStyleInfo name="detail_avancemen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/>
      <c r="B3" s="1"/>
    </row>
    <row r="4" ht="15.75" customHeight="1">
      <c r="A4" s="1"/>
      <c r="B4" s="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19.0"/>
    <col customWidth="1" min="3" max="3" width="18.0"/>
    <col customWidth="1" min="4" max="4" width="20.25"/>
    <col customWidth="1" min="5" max="5" width="54.25"/>
    <col customWidth="1" min="6" max="6" width="13.5"/>
    <col customWidth="1" min="7" max="7" width="14.75"/>
    <col customWidth="1" min="8" max="8" width="18.13"/>
    <col customWidth="1" min="9" max="9" width="20.25"/>
    <col customWidth="1" min="10" max="11" width="19.63"/>
  </cols>
  <sheetData>
    <row r="1" ht="15.75" customHeigh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9</v>
      </c>
      <c r="G1" s="3" t="s">
        <v>10</v>
      </c>
      <c r="H1" s="3" t="s">
        <v>11</v>
      </c>
      <c r="I1" s="4" t="s">
        <v>12</v>
      </c>
      <c r="J1" s="3" t="s">
        <v>13</v>
      </c>
      <c r="K1" s="3" t="s">
        <v>14</v>
      </c>
    </row>
    <row r="2" ht="15.75" customHeight="1">
      <c r="A2" s="5">
        <v>1.0</v>
      </c>
      <c r="B2" s="6" t="s">
        <v>15</v>
      </c>
      <c r="C2" s="7" t="s">
        <v>16</v>
      </c>
      <c r="D2" s="8" t="s">
        <v>17</v>
      </c>
      <c r="E2" s="7" t="s">
        <v>18</v>
      </c>
      <c r="F2" s="9" t="s">
        <v>19</v>
      </c>
      <c r="G2" s="9" t="s">
        <v>0</v>
      </c>
      <c r="H2" s="10">
        <v>10.0</v>
      </c>
      <c r="I2" s="5">
        <v>10.0</v>
      </c>
      <c r="J2" s="11">
        <f>H2-I2</f>
        <v>0</v>
      </c>
      <c r="K2" s="12">
        <f t="shared" ref="K2:K29" si="1">(I2/(I2+J2))</f>
        <v>1</v>
      </c>
    </row>
    <row r="3" ht="15.75" customHeight="1">
      <c r="A3" s="5">
        <v>2.0</v>
      </c>
      <c r="B3" s="6" t="s">
        <v>15</v>
      </c>
      <c r="C3" s="7" t="s">
        <v>20</v>
      </c>
      <c r="D3" s="7" t="s">
        <v>17</v>
      </c>
      <c r="E3" s="7" t="s">
        <v>21</v>
      </c>
      <c r="F3" s="6" t="s">
        <v>19</v>
      </c>
      <c r="G3" s="9" t="s">
        <v>0</v>
      </c>
      <c r="H3" s="13">
        <v>15.0</v>
      </c>
      <c r="I3" s="5">
        <v>15.0</v>
      </c>
      <c r="J3" s="5">
        <v>0.0</v>
      </c>
      <c r="K3" s="12">
        <f t="shared" si="1"/>
        <v>1</v>
      </c>
    </row>
    <row r="4" ht="15.75" customHeight="1">
      <c r="A4" s="5">
        <v>3.0</v>
      </c>
      <c r="B4" s="6" t="s">
        <v>22</v>
      </c>
      <c r="C4" s="7" t="s">
        <v>23</v>
      </c>
      <c r="D4" s="7" t="s">
        <v>17</v>
      </c>
      <c r="E4" s="7" t="s">
        <v>24</v>
      </c>
      <c r="F4" s="6" t="s">
        <v>25</v>
      </c>
      <c r="G4" s="9" t="s">
        <v>0</v>
      </c>
      <c r="H4" s="13">
        <v>10.0</v>
      </c>
      <c r="I4" s="5">
        <v>10.0</v>
      </c>
      <c r="J4" s="5">
        <v>0.0</v>
      </c>
      <c r="K4" s="12">
        <f t="shared" si="1"/>
        <v>1</v>
      </c>
    </row>
    <row r="5" ht="15.75" customHeight="1">
      <c r="A5" s="5">
        <v>4.0</v>
      </c>
      <c r="B5" s="6" t="s">
        <v>22</v>
      </c>
      <c r="C5" s="7" t="s">
        <v>23</v>
      </c>
      <c r="D5" s="7" t="s">
        <v>17</v>
      </c>
      <c r="E5" s="7" t="s">
        <v>26</v>
      </c>
      <c r="F5" s="6" t="s">
        <v>25</v>
      </c>
      <c r="G5" s="9" t="s">
        <v>0</v>
      </c>
      <c r="H5" s="10">
        <v>10.0</v>
      </c>
      <c r="I5" s="5">
        <v>10.0</v>
      </c>
      <c r="J5" s="11">
        <f t="shared" ref="J5:J29" si="2">H5-I5</f>
        <v>0</v>
      </c>
      <c r="K5" s="12">
        <f t="shared" si="1"/>
        <v>1</v>
      </c>
    </row>
    <row r="6" ht="15.75" customHeight="1">
      <c r="A6" s="5">
        <v>5.0</v>
      </c>
      <c r="B6" s="14" t="s">
        <v>27</v>
      </c>
      <c r="C6" s="15" t="s">
        <v>28</v>
      </c>
      <c r="D6" s="15" t="s">
        <v>29</v>
      </c>
      <c r="E6" s="16" t="s">
        <v>30</v>
      </c>
      <c r="F6" s="17" t="s">
        <v>31</v>
      </c>
      <c r="G6" s="14" t="s">
        <v>0</v>
      </c>
      <c r="H6" s="18">
        <v>30.0</v>
      </c>
      <c r="I6" s="5">
        <v>30.0</v>
      </c>
      <c r="J6" s="11">
        <f t="shared" si="2"/>
        <v>0</v>
      </c>
      <c r="K6" s="12">
        <f t="shared" si="1"/>
        <v>1</v>
      </c>
    </row>
    <row r="7" ht="15.75" customHeight="1">
      <c r="A7" s="5">
        <v>6.0</v>
      </c>
      <c r="B7" s="19" t="s">
        <v>27</v>
      </c>
      <c r="C7" s="15" t="s">
        <v>28</v>
      </c>
      <c r="D7" s="15" t="s">
        <v>32</v>
      </c>
      <c r="E7" s="20" t="s">
        <v>33</v>
      </c>
      <c r="F7" s="17" t="s">
        <v>34</v>
      </c>
      <c r="G7" s="14" t="s">
        <v>0</v>
      </c>
      <c r="H7" s="18">
        <v>20.0</v>
      </c>
      <c r="I7" s="5">
        <v>20.0</v>
      </c>
      <c r="J7" s="11">
        <f t="shared" si="2"/>
        <v>0</v>
      </c>
      <c r="K7" s="12">
        <f t="shared" si="1"/>
        <v>1</v>
      </c>
    </row>
    <row r="8" ht="15.75" customHeight="1">
      <c r="A8" s="5">
        <v>7.0</v>
      </c>
      <c r="B8" s="19" t="s">
        <v>27</v>
      </c>
      <c r="C8" s="15" t="s">
        <v>28</v>
      </c>
      <c r="D8" s="15" t="s">
        <v>35</v>
      </c>
      <c r="E8" s="20" t="s">
        <v>36</v>
      </c>
      <c r="F8" s="17" t="s">
        <v>19</v>
      </c>
      <c r="G8" s="14" t="s">
        <v>0</v>
      </c>
      <c r="H8" s="18">
        <v>10.0</v>
      </c>
      <c r="I8" s="5">
        <v>10.0</v>
      </c>
      <c r="J8" s="11">
        <f t="shared" si="2"/>
        <v>0</v>
      </c>
      <c r="K8" s="12">
        <f t="shared" si="1"/>
        <v>1</v>
      </c>
    </row>
    <row r="9" ht="15.75" customHeight="1">
      <c r="A9" s="5">
        <v>8.0</v>
      </c>
      <c r="B9" s="19" t="s">
        <v>27</v>
      </c>
      <c r="C9" s="15" t="s">
        <v>34</v>
      </c>
      <c r="D9" s="15" t="s">
        <v>17</v>
      </c>
      <c r="E9" s="20" t="s">
        <v>37</v>
      </c>
      <c r="F9" s="17" t="s">
        <v>34</v>
      </c>
      <c r="G9" s="14" t="s">
        <v>0</v>
      </c>
      <c r="H9" s="21">
        <v>10.0</v>
      </c>
      <c r="I9" s="22">
        <v>10.0</v>
      </c>
      <c r="J9" s="11">
        <f t="shared" si="2"/>
        <v>0</v>
      </c>
      <c r="K9" s="12">
        <f t="shared" si="1"/>
        <v>1</v>
      </c>
    </row>
    <row r="10" ht="15.75" customHeight="1">
      <c r="A10" s="5">
        <v>9.0</v>
      </c>
      <c r="B10" s="6" t="s">
        <v>27</v>
      </c>
      <c r="C10" s="7" t="s">
        <v>38</v>
      </c>
      <c r="D10" s="7" t="s">
        <v>39</v>
      </c>
      <c r="E10" s="7" t="s">
        <v>40</v>
      </c>
      <c r="F10" s="6" t="s">
        <v>41</v>
      </c>
      <c r="G10" s="6" t="s">
        <v>2</v>
      </c>
      <c r="H10" s="10">
        <v>15.0</v>
      </c>
      <c r="I10" s="5">
        <v>15.0</v>
      </c>
      <c r="J10" s="11">
        <f t="shared" si="2"/>
        <v>0</v>
      </c>
      <c r="K10" s="12">
        <f t="shared" si="1"/>
        <v>1</v>
      </c>
    </row>
    <row r="11" ht="15.75" customHeight="1">
      <c r="A11" s="5">
        <v>10.0</v>
      </c>
      <c r="B11" s="6" t="s">
        <v>27</v>
      </c>
      <c r="C11" s="7" t="s">
        <v>38</v>
      </c>
      <c r="D11" s="7" t="s">
        <v>42</v>
      </c>
      <c r="E11" s="7" t="s">
        <v>43</v>
      </c>
      <c r="F11" s="6" t="s">
        <v>41</v>
      </c>
      <c r="G11" s="6" t="s">
        <v>2</v>
      </c>
      <c r="H11" s="10">
        <v>10.0</v>
      </c>
      <c r="I11" s="5">
        <v>10.0</v>
      </c>
      <c r="J11" s="11">
        <f t="shared" si="2"/>
        <v>0</v>
      </c>
      <c r="K11" s="12">
        <f t="shared" si="1"/>
        <v>1</v>
      </c>
    </row>
    <row r="12" ht="15.75" customHeight="1">
      <c r="A12" s="5">
        <v>11.0</v>
      </c>
      <c r="B12" s="6" t="s">
        <v>27</v>
      </c>
      <c r="C12" s="7" t="s">
        <v>38</v>
      </c>
      <c r="D12" s="7" t="s">
        <v>44</v>
      </c>
      <c r="E12" s="7" t="s">
        <v>45</v>
      </c>
      <c r="F12" s="6" t="s">
        <v>31</v>
      </c>
      <c r="G12" s="6" t="s">
        <v>2</v>
      </c>
      <c r="H12" s="10">
        <v>10.0</v>
      </c>
      <c r="I12" s="5">
        <v>10.0</v>
      </c>
      <c r="J12" s="11">
        <f t="shared" si="2"/>
        <v>0</v>
      </c>
      <c r="K12" s="12">
        <f t="shared" si="1"/>
        <v>1</v>
      </c>
    </row>
    <row r="13" ht="15.75" customHeight="1">
      <c r="A13" s="5">
        <v>12.0</v>
      </c>
      <c r="B13" s="6" t="s">
        <v>27</v>
      </c>
      <c r="C13" s="7" t="s">
        <v>38</v>
      </c>
      <c r="D13" s="7" t="s">
        <v>46</v>
      </c>
      <c r="E13" s="7" t="s">
        <v>47</v>
      </c>
      <c r="F13" s="6" t="s">
        <v>31</v>
      </c>
      <c r="G13" s="6" t="s">
        <v>2</v>
      </c>
      <c r="H13" s="13">
        <v>10.0</v>
      </c>
      <c r="I13" s="5">
        <v>10.0</v>
      </c>
      <c r="J13" s="11">
        <f t="shared" si="2"/>
        <v>0</v>
      </c>
      <c r="K13" s="12">
        <f t="shared" si="1"/>
        <v>1</v>
      </c>
    </row>
    <row r="14" ht="15.75" customHeight="1">
      <c r="A14" s="5">
        <v>13.0</v>
      </c>
      <c r="B14" s="6" t="s">
        <v>27</v>
      </c>
      <c r="C14" s="7" t="s">
        <v>48</v>
      </c>
      <c r="D14" s="7" t="s">
        <v>49</v>
      </c>
      <c r="E14" s="7" t="s">
        <v>50</v>
      </c>
      <c r="F14" s="6" t="s">
        <v>41</v>
      </c>
      <c r="G14" s="9" t="s">
        <v>2</v>
      </c>
      <c r="H14" s="13">
        <v>10.0</v>
      </c>
      <c r="I14" s="5">
        <v>10.0</v>
      </c>
      <c r="J14" s="11">
        <f t="shared" si="2"/>
        <v>0</v>
      </c>
      <c r="K14" s="12">
        <f t="shared" si="1"/>
        <v>1</v>
      </c>
    </row>
    <row r="15" ht="15.75" customHeight="1">
      <c r="A15" s="5">
        <v>14.0</v>
      </c>
      <c r="B15" s="6" t="s">
        <v>27</v>
      </c>
      <c r="C15" s="7" t="s">
        <v>48</v>
      </c>
      <c r="D15" s="7" t="s">
        <v>49</v>
      </c>
      <c r="E15" s="7" t="s">
        <v>51</v>
      </c>
      <c r="F15" s="6" t="s">
        <v>31</v>
      </c>
      <c r="G15" s="9" t="s">
        <v>2</v>
      </c>
      <c r="H15" s="10">
        <v>50.0</v>
      </c>
      <c r="I15" s="5">
        <v>50.0</v>
      </c>
      <c r="J15" s="11">
        <f t="shared" si="2"/>
        <v>0</v>
      </c>
      <c r="K15" s="12">
        <f t="shared" si="1"/>
        <v>1</v>
      </c>
    </row>
    <row r="16" ht="15.75" customHeight="1">
      <c r="A16" s="5">
        <v>15.0</v>
      </c>
      <c r="B16" s="6" t="s">
        <v>27</v>
      </c>
      <c r="C16" s="7" t="s">
        <v>48</v>
      </c>
      <c r="D16" s="7" t="s">
        <v>52</v>
      </c>
      <c r="E16" s="7" t="s">
        <v>53</v>
      </c>
      <c r="F16" s="6" t="s">
        <v>31</v>
      </c>
      <c r="G16" s="9" t="s">
        <v>2</v>
      </c>
      <c r="H16" s="10">
        <v>40.0</v>
      </c>
      <c r="I16" s="5">
        <v>40.0</v>
      </c>
      <c r="J16" s="11">
        <f t="shared" si="2"/>
        <v>0</v>
      </c>
      <c r="K16" s="12">
        <f t="shared" si="1"/>
        <v>1</v>
      </c>
    </row>
    <row r="17" ht="15.75" customHeight="1">
      <c r="A17" s="5">
        <v>16.0</v>
      </c>
      <c r="B17" s="6" t="s">
        <v>27</v>
      </c>
      <c r="C17" s="7" t="s">
        <v>48</v>
      </c>
      <c r="D17" s="7" t="s">
        <v>52</v>
      </c>
      <c r="E17" s="7" t="s">
        <v>54</v>
      </c>
      <c r="F17" s="6" t="s">
        <v>31</v>
      </c>
      <c r="G17" s="9" t="s">
        <v>2</v>
      </c>
      <c r="H17" s="10">
        <v>40.0</v>
      </c>
      <c r="I17" s="5">
        <v>40.0</v>
      </c>
      <c r="J17" s="11">
        <f t="shared" si="2"/>
        <v>0</v>
      </c>
      <c r="K17" s="12">
        <f t="shared" si="1"/>
        <v>1</v>
      </c>
    </row>
    <row r="18" ht="15.75" customHeight="1">
      <c r="A18" s="5">
        <v>17.0</v>
      </c>
      <c r="B18" s="6" t="s">
        <v>27</v>
      </c>
      <c r="C18" s="7" t="s">
        <v>48</v>
      </c>
      <c r="D18" s="7" t="s">
        <v>55</v>
      </c>
      <c r="E18" s="7" t="s">
        <v>56</v>
      </c>
      <c r="F18" s="6" t="s">
        <v>41</v>
      </c>
      <c r="G18" s="9" t="s">
        <v>2</v>
      </c>
      <c r="H18" s="13">
        <v>10.0</v>
      </c>
      <c r="I18" s="5">
        <v>10.0</v>
      </c>
      <c r="J18" s="11">
        <f t="shared" si="2"/>
        <v>0</v>
      </c>
      <c r="K18" s="12">
        <f t="shared" si="1"/>
        <v>1</v>
      </c>
    </row>
    <row r="19" ht="15.75" customHeight="1">
      <c r="A19" s="5">
        <v>18.0</v>
      </c>
      <c r="B19" s="6" t="s">
        <v>27</v>
      </c>
      <c r="C19" s="7" t="s">
        <v>48</v>
      </c>
      <c r="D19" s="7" t="s">
        <v>57</v>
      </c>
      <c r="E19" s="7" t="s">
        <v>58</v>
      </c>
      <c r="F19" s="6" t="s">
        <v>31</v>
      </c>
      <c r="G19" s="9" t="s">
        <v>2</v>
      </c>
      <c r="H19" s="13">
        <v>15.0</v>
      </c>
      <c r="I19" s="5">
        <v>15.0</v>
      </c>
      <c r="J19" s="11">
        <f t="shared" si="2"/>
        <v>0</v>
      </c>
      <c r="K19" s="12">
        <f t="shared" si="1"/>
        <v>1</v>
      </c>
    </row>
    <row r="20" ht="15.75" customHeight="1">
      <c r="A20" s="5">
        <v>19.0</v>
      </c>
      <c r="B20" s="6" t="s">
        <v>59</v>
      </c>
      <c r="C20" s="7" t="s">
        <v>60</v>
      </c>
      <c r="D20" s="7" t="s">
        <v>61</v>
      </c>
      <c r="E20" s="7" t="s">
        <v>62</v>
      </c>
      <c r="F20" s="6" t="s">
        <v>41</v>
      </c>
      <c r="G20" s="9" t="s">
        <v>2</v>
      </c>
      <c r="H20" s="13">
        <v>15.0</v>
      </c>
      <c r="I20" s="5">
        <v>15.0</v>
      </c>
      <c r="J20" s="11">
        <f t="shared" si="2"/>
        <v>0</v>
      </c>
      <c r="K20" s="12">
        <f t="shared" si="1"/>
        <v>1</v>
      </c>
    </row>
    <row r="21" ht="15.75" customHeight="1">
      <c r="A21" s="5">
        <v>20.0</v>
      </c>
      <c r="B21" s="6" t="s">
        <v>59</v>
      </c>
      <c r="C21" s="7" t="s">
        <v>63</v>
      </c>
      <c r="D21" s="7" t="s">
        <v>64</v>
      </c>
      <c r="E21" s="7" t="s">
        <v>65</v>
      </c>
      <c r="F21" s="6" t="s">
        <v>41</v>
      </c>
      <c r="G21" s="9" t="s">
        <v>2</v>
      </c>
      <c r="H21" s="13">
        <v>15.0</v>
      </c>
      <c r="I21" s="5">
        <v>15.0</v>
      </c>
      <c r="J21" s="11">
        <f t="shared" si="2"/>
        <v>0</v>
      </c>
      <c r="K21" s="12">
        <f t="shared" si="1"/>
        <v>1</v>
      </c>
    </row>
    <row r="22" ht="15.75" customHeight="1">
      <c r="A22" s="5">
        <v>21.0</v>
      </c>
      <c r="B22" s="6" t="s">
        <v>59</v>
      </c>
      <c r="C22" s="7" t="s">
        <v>66</v>
      </c>
      <c r="D22" s="7" t="s">
        <v>67</v>
      </c>
      <c r="E22" s="7" t="s">
        <v>68</v>
      </c>
      <c r="F22" s="6" t="s">
        <v>41</v>
      </c>
      <c r="G22" s="9" t="s">
        <v>2</v>
      </c>
      <c r="H22" s="13">
        <v>15.0</v>
      </c>
      <c r="I22" s="5">
        <v>15.0</v>
      </c>
      <c r="J22" s="11">
        <f t="shared" si="2"/>
        <v>0</v>
      </c>
      <c r="K22" s="12">
        <f t="shared" si="1"/>
        <v>1</v>
      </c>
    </row>
    <row r="23" ht="15.75" customHeight="1">
      <c r="A23" s="5">
        <v>22.0</v>
      </c>
      <c r="B23" s="6" t="s">
        <v>59</v>
      </c>
      <c r="C23" s="7" t="s">
        <v>69</v>
      </c>
      <c r="D23" s="7" t="s">
        <v>70</v>
      </c>
      <c r="E23" s="8" t="s">
        <v>71</v>
      </c>
      <c r="F23" s="6" t="s">
        <v>19</v>
      </c>
      <c r="G23" s="9" t="s">
        <v>2</v>
      </c>
      <c r="H23" s="10">
        <v>15.0</v>
      </c>
      <c r="I23" s="5">
        <v>15.0</v>
      </c>
      <c r="J23" s="11">
        <f t="shared" si="2"/>
        <v>0</v>
      </c>
      <c r="K23" s="12">
        <f t="shared" si="1"/>
        <v>1</v>
      </c>
    </row>
    <row r="24" ht="15.75" customHeight="1">
      <c r="A24" s="5">
        <v>23.0</v>
      </c>
      <c r="B24" s="6" t="s">
        <v>59</v>
      </c>
      <c r="C24" s="7" t="s">
        <v>69</v>
      </c>
      <c r="D24" s="7" t="s">
        <v>72</v>
      </c>
      <c r="E24" s="7" t="s">
        <v>73</v>
      </c>
      <c r="F24" s="6" t="s">
        <v>19</v>
      </c>
      <c r="G24" s="9" t="s">
        <v>2</v>
      </c>
      <c r="H24" s="10">
        <v>10.0</v>
      </c>
      <c r="I24" s="5">
        <v>10.0</v>
      </c>
      <c r="J24" s="11">
        <f t="shared" si="2"/>
        <v>0</v>
      </c>
      <c r="K24" s="12">
        <f t="shared" si="1"/>
        <v>1</v>
      </c>
    </row>
    <row r="25" ht="15.75" customHeight="1">
      <c r="A25" s="5">
        <v>24.0</v>
      </c>
      <c r="B25" s="6" t="s">
        <v>59</v>
      </c>
      <c r="C25" s="7" t="s">
        <v>69</v>
      </c>
      <c r="D25" s="7" t="s">
        <v>72</v>
      </c>
      <c r="E25" s="7" t="s">
        <v>74</v>
      </c>
      <c r="F25" s="6" t="s">
        <v>19</v>
      </c>
      <c r="G25" s="9" t="s">
        <v>2</v>
      </c>
      <c r="H25" s="10">
        <v>5.0</v>
      </c>
      <c r="I25" s="5">
        <v>5.0</v>
      </c>
      <c r="J25" s="11">
        <f t="shared" si="2"/>
        <v>0</v>
      </c>
      <c r="K25" s="12">
        <f t="shared" si="1"/>
        <v>1</v>
      </c>
    </row>
    <row r="26" ht="15.75" customHeight="1">
      <c r="A26" s="5">
        <v>25.0</v>
      </c>
      <c r="B26" s="6" t="s">
        <v>75</v>
      </c>
      <c r="C26" s="7" t="s">
        <v>76</v>
      </c>
      <c r="D26" s="7" t="s">
        <v>17</v>
      </c>
      <c r="E26" s="7" t="s">
        <v>77</v>
      </c>
      <c r="F26" s="6" t="s">
        <v>78</v>
      </c>
      <c r="G26" s="9" t="s">
        <v>0</v>
      </c>
      <c r="H26" s="13">
        <v>15.0</v>
      </c>
      <c r="I26" s="5">
        <v>15.0</v>
      </c>
      <c r="J26" s="11">
        <f t="shared" si="2"/>
        <v>0</v>
      </c>
      <c r="K26" s="12">
        <f t="shared" si="1"/>
        <v>1</v>
      </c>
    </row>
    <row r="27" ht="15.75" customHeight="1">
      <c r="A27" s="5">
        <v>26.0</v>
      </c>
      <c r="B27" s="6" t="s">
        <v>75</v>
      </c>
      <c r="C27" s="7" t="s">
        <v>79</v>
      </c>
      <c r="D27" s="7" t="s">
        <v>80</v>
      </c>
      <c r="E27" s="7" t="s">
        <v>81</v>
      </c>
      <c r="F27" s="6" t="s">
        <v>78</v>
      </c>
      <c r="G27" s="6" t="s">
        <v>0</v>
      </c>
      <c r="H27" s="10">
        <v>30.0</v>
      </c>
      <c r="I27" s="5">
        <v>30.0</v>
      </c>
      <c r="J27" s="11">
        <f t="shared" si="2"/>
        <v>0</v>
      </c>
      <c r="K27" s="12">
        <f t="shared" si="1"/>
        <v>1</v>
      </c>
    </row>
    <row r="28" ht="15.75" customHeight="1">
      <c r="A28" s="5">
        <v>27.0</v>
      </c>
      <c r="B28" s="23" t="s">
        <v>75</v>
      </c>
      <c r="C28" s="24" t="s">
        <v>82</v>
      </c>
      <c r="D28" s="24" t="s">
        <v>17</v>
      </c>
      <c r="E28" s="24" t="s">
        <v>83</v>
      </c>
      <c r="F28" s="25" t="s">
        <v>78</v>
      </c>
      <c r="G28" s="23" t="s">
        <v>0</v>
      </c>
      <c r="H28" s="26">
        <v>5.0</v>
      </c>
      <c r="I28" s="5">
        <v>5.0</v>
      </c>
      <c r="J28" s="11">
        <f t="shared" si="2"/>
        <v>0</v>
      </c>
      <c r="K28" s="12">
        <f t="shared" si="1"/>
        <v>1</v>
      </c>
    </row>
    <row r="29" ht="15.75" customHeight="1">
      <c r="A29" s="27">
        <v>28.0</v>
      </c>
      <c r="B29" s="28" t="s">
        <v>59</v>
      </c>
      <c r="C29" s="29" t="s">
        <v>84</v>
      </c>
      <c r="D29" s="30"/>
      <c r="E29" s="29" t="s">
        <v>85</v>
      </c>
      <c r="F29" s="28" t="s">
        <v>41</v>
      </c>
      <c r="G29" s="28" t="s">
        <v>0</v>
      </c>
      <c r="H29" s="31">
        <v>30.0</v>
      </c>
      <c r="I29" s="27">
        <v>30.0</v>
      </c>
      <c r="J29" s="32">
        <f t="shared" si="2"/>
        <v>0</v>
      </c>
      <c r="K29" s="33">
        <f t="shared" si="1"/>
        <v>1</v>
      </c>
    </row>
    <row r="30" ht="15.75" customHeight="1"/>
    <row r="31" ht="15.75" customHeight="1"/>
    <row r="32" ht="15.75" customHeight="1"/>
    <row r="33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ht="15.75" customHeight="1">
      <c r="L48" s="34"/>
      <c r="M48" s="34"/>
      <c r="N48" s="34"/>
      <c r="O48" s="3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H29">
    <cfRule type="notContainsBlanks" dxfId="5" priority="1">
      <formula>LEN(TRIM(B2))&gt;0</formula>
    </cfRule>
  </conditionalFormatting>
  <conditionalFormatting sqref="B6:H9 B26:H29 A29 I29:K29">
    <cfRule type="notContainsBlanks" dxfId="5" priority="2">
      <formula>LEN(TRIM(B6))&gt;0</formula>
    </cfRule>
  </conditionalFormatting>
  <dataValidations>
    <dataValidation type="list" allowBlank="1" showDropDown="1" showErrorMessage="1" sqref="G2:G29">
      <formula1>"ETU003310,ETU003268"</formula1>
    </dataValidation>
    <dataValidation type="list" allowBlank="1" showDropDown="1" showErrorMessage="1" sqref="B2:B29">
      <formula1>"Infrastructure,Base de données,Backoffice,Frontoffice,Livraison"</formula1>
    </dataValidation>
    <dataValidation type="custom" allowBlank="1" showDropDown="1" sqref="A2:A29 H2:K29">
      <formula1>AND(ISNUMBER(A2),(NOT(OR(NOT(ISERROR(DATEVALUE(A2))), AND(ISNUMBER(A2), LEFT(CELL("format", A2))="D")))))</formula1>
    </dataValidation>
    <dataValidation type="list" allowBlank="1" sqref="F2:F29">
      <formula1>"Technique,Base,Affichage,Métier,Intégration,Sécurité"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" width="12.63"/>
    <col customWidth="1" min="4" max="4" width="16.5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A5" s="41"/>
      <c r="B5" s="41"/>
      <c r="C5" s="45"/>
      <c r="D5" s="46"/>
    </row>
    <row r="6" ht="15.75" customHeight="1">
      <c r="A6" s="41"/>
      <c r="B6" s="41"/>
      <c r="C6" s="45"/>
      <c r="D6" s="46"/>
    </row>
    <row r="7" ht="15.75" customHeight="1">
      <c r="A7" s="47"/>
      <c r="B7" s="47"/>
      <c r="C7" s="48"/>
      <c r="D7" s="49"/>
    </row>
    <row r="8" ht="15.75" customHeight="1"/>
    <row r="9" ht="15.75" customHeight="1"/>
    <row r="10" ht="15.75" customHeight="1"/>
    <row r="11" ht="15.75" customHeight="1"/>
    <row r="12" ht="15.75" customHeight="1">
      <c r="A12" s="50" t="s">
        <v>14</v>
      </c>
      <c r="B12" s="51">
        <f>avancement!D2</f>
        <v>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  <col customWidth="1" min="6" max="6" width="12.63"/>
  </cols>
  <sheetData>
    <row r="1" ht="15.75" customHeight="1">
      <c r="A1" s="52" t="s">
        <v>90</v>
      </c>
      <c r="B1" s="52" t="s">
        <v>91</v>
      </c>
      <c r="C1" s="52" t="s">
        <v>92</v>
      </c>
      <c r="D1" s="52" t="s">
        <v>93</v>
      </c>
      <c r="E1" s="52" t="s">
        <v>94</v>
      </c>
    </row>
    <row r="2" ht="15.75" customHeight="1">
      <c r="A2" s="53">
        <f>SUM('liste des taches'!H:H)</f>
        <v>480</v>
      </c>
      <c r="B2" s="53">
        <f>SUM('liste des taches'!I:I)</f>
        <v>480</v>
      </c>
      <c r="C2" s="53">
        <f>SUM('liste des taches'!J:J)</f>
        <v>0</v>
      </c>
      <c r="D2" s="54">
        <f>(B2/(B2+C2))</f>
        <v>1</v>
      </c>
      <c r="E2" s="55">
        <f>((B2+C2)-A2)/A2</f>
        <v>0</v>
      </c>
    </row>
    <row r="3" ht="15.75" customHeight="1">
      <c r="A3" s="56"/>
      <c r="B3" s="56"/>
      <c r="C3" s="53">
        <f>C2/60</f>
        <v>0</v>
      </c>
      <c r="D3" s="56" t="s">
        <v>95</v>
      </c>
      <c r="E3" s="5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7" t="s">
        <v>4</v>
      </c>
      <c r="B1" s="58" t="s">
        <v>96</v>
      </c>
      <c r="C1" s="59">
        <v>46111.0</v>
      </c>
      <c r="D1" s="59">
        <v>46112.0</v>
      </c>
      <c r="E1" s="59"/>
    </row>
    <row r="2" ht="15.75" customHeight="1">
      <c r="A2" s="60">
        <v>1.0</v>
      </c>
      <c r="B2" s="53">
        <f t="shared" ref="B2:B28" si="1">SUM(C2:D2)</f>
        <v>10</v>
      </c>
      <c r="C2" s="61">
        <v>10.0</v>
      </c>
      <c r="D2" s="62">
        <v>0.0</v>
      </c>
      <c r="E2" s="56"/>
    </row>
    <row r="3" ht="15.75" customHeight="1">
      <c r="A3" s="60">
        <v>2.0</v>
      </c>
      <c r="B3" s="53">
        <f t="shared" si="1"/>
        <v>15</v>
      </c>
      <c r="C3" s="61">
        <v>15.0</v>
      </c>
      <c r="D3" s="62">
        <v>0.0</v>
      </c>
      <c r="E3" s="56"/>
    </row>
    <row r="4" ht="15.75" customHeight="1">
      <c r="A4" s="60">
        <v>3.0</v>
      </c>
      <c r="B4" s="53">
        <f t="shared" si="1"/>
        <v>10</v>
      </c>
      <c r="C4" s="61">
        <v>10.0</v>
      </c>
      <c r="D4" s="62">
        <v>0.0</v>
      </c>
      <c r="E4" s="56"/>
    </row>
    <row r="5" ht="15.75" customHeight="1">
      <c r="A5" s="60">
        <v>4.0</v>
      </c>
      <c r="B5" s="53">
        <f t="shared" si="1"/>
        <v>10</v>
      </c>
      <c r="C5" s="61">
        <v>10.0</v>
      </c>
      <c r="D5" s="62">
        <v>0.0</v>
      </c>
      <c r="E5" s="56"/>
    </row>
    <row r="6" ht="15.75" customHeight="1">
      <c r="A6" s="60">
        <v>5.0</v>
      </c>
      <c r="B6" s="53">
        <f t="shared" si="1"/>
        <v>30</v>
      </c>
      <c r="C6" s="61">
        <v>30.0</v>
      </c>
      <c r="D6" s="62">
        <v>0.0</v>
      </c>
      <c r="E6" s="56"/>
    </row>
    <row r="7" ht="15.75" customHeight="1">
      <c r="A7" s="60">
        <v>6.0</v>
      </c>
      <c r="B7" s="53">
        <f t="shared" si="1"/>
        <v>20</v>
      </c>
      <c r="C7" s="61">
        <v>20.0</v>
      </c>
      <c r="D7" s="62">
        <v>0.0</v>
      </c>
      <c r="E7" s="56"/>
    </row>
    <row r="8" ht="15.75" customHeight="1">
      <c r="A8" s="60">
        <v>7.0</v>
      </c>
      <c r="B8" s="53">
        <f t="shared" si="1"/>
        <v>10</v>
      </c>
      <c r="C8" s="61">
        <v>10.0</v>
      </c>
      <c r="D8" s="62">
        <v>0.0</v>
      </c>
      <c r="E8" s="56"/>
    </row>
    <row r="9" ht="15.75" customHeight="1">
      <c r="A9" s="60">
        <v>8.0</v>
      </c>
      <c r="B9" s="53">
        <f t="shared" si="1"/>
        <v>10</v>
      </c>
      <c r="C9" s="61">
        <v>10.0</v>
      </c>
      <c r="D9" s="62">
        <v>0.0</v>
      </c>
    </row>
    <row r="10" ht="15.75" customHeight="1">
      <c r="A10" s="60">
        <v>9.0</v>
      </c>
      <c r="B10" s="63">
        <f t="shared" si="1"/>
        <v>15</v>
      </c>
      <c r="C10" s="60">
        <v>15.0</v>
      </c>
      <c r="D10" s="62">
        <v>0.0</v>
      </c>
    </row>
    <row r="11" ht="15.75" customHeight="1">
      <c r="A11" s="60">
        <v>10.0</v>
      </c>
      <c r="B11" s="63">
        <f t="shared" si="1"/>
        <v>10</v>
      </c>
      <c r="C11" s="60">
        <v>10.0</v>
      </c>
      <c r="D11" s="62">
        <v>0.0</v>
      </c>
    </row>
    <row r="12" ht="15.75" customHeight="1">
      <c r="A12" s="60">
        <v>11.0</v>
      </c>
      <c r="B12" s="63">
        <f t="shared" si="1"/>
        <v>10</v>
      </c>
      <c r="C12" s="60">
        <v>10.0</v>
      </c>
      <c r="D12" s="62">
        <v>0.0</v>
      </c>
    </row>
    <row r="13" ht="15.75" customHeight="1">
      <c r="A13" s="60">
        <v>12.0</v>
      </c>
      <c r="B13" s="63">
        <f t="shared" si="1"/>
        <v>10</v>
      </c>
      <c r="C13" s="60">
        <v>10.0</v>
      </c>
      <c r="D13" s="62">
        <v>0.0</v>
      </c>
    </row>
    <row r="14" ht="15.75" customHeight="1">
      <c r="A14" s="60">
        <v>13.0</v>
      </c>
      <c r="B14" s="63">
        <f t="shared" si="1"/>
        <v>10</v>
      </c>
      <c r="C14" s="60">
        <v>10.0</v>
      </c>
      <c r="D14" s="62">
        <v>0.0</v>
      </c>
    </row>
    <row r="15" ht="15.75" customHeight="1">
      <c r="A15" s="60">
        <v>14.0</v>
      </c>
      <c r="B15" s="63">
        <f t="shared" si="1"/>
        <v>20</v>
      </c>
      <c r="C15" s="60">
        <v>10.0</v>
      </c>
      <c r="D15" s="62">
        <v>10.0</v>
      </c>
    </row>
    <row r="16" ht="15.75" customHeight="1">
      <c r="A16" s="60">
        <v>15.0</v>
      </c>
      <c r="B16" s="63">
        <f t="shared" si="1"/>
        <v>30</v>
      </c>
      <c r="C16" s="60">
        <v>30.0</v>
      </c>
      <c r="D16" s="62">
        <v>0.0</v>
      </c>
    </row>
    <row r="17" ht="15.75" customHeight="1">
      <c r="A17" s="60">
        <v>16.0</v>
      </c>
      <c r="B17" s="63">
        <f t="shared" si="1"/>
        <v>10</v>
      </c>
      <c r="C17" s="60">
        <v>10.0</v>
      </c>
      <c r="D17" s="62">
        <v>0.0</v>
      </c>
    </row>
    <row r="18" ht="15.75" customHeight="1">
      <c r="A18" s="60">
        <v>17.0</v>
      </c>
      <c r="B18" s="63">
        <f t="shared" si="1"/>
        <v>15</v>
      </c>
      <c r="C18" s="60">
        <v>10.0</v>
      </c>
      <c r="D18" s="62">
        <v>5.0</v>
      </c>
    </row>
    <row r="19" ht="15.75" customHeight="1">
      <c r="A19" s="60">
        <v>18.0</v>
      </c>
      <c r="B19" s="63">
        <f t="shared" si="1"/>
        <v>10</v>
      </c>
      <c r="C19" s="60">
        <v>10.0</v>
      </c>
      <c r="D19" s="62">
        <v>0.0</v>
      </c>
    </row>
    <row r="20" ht="15.75" customHeight="1">
      <c r="A20" s="60">
        <v>19.0</v>
      </c>
      <c r="B20" s="63">
        <f t="shared" si="1"/>
        <v>15</v>
      </c>
      <c r="C20" s="60">
        <v>15.0</v>
      </c>
      <c r="D20" s="62">
        <v>0.0</v>
      </c>
    </row>
    <row r="21" ht="15.75" customHeight="1">
      <c r="A21" s="60">
        <v>20.0</v>
      </c>
      <c r="B21" s="63">
        <f t="shared" si="1"/>
        <v>15</v>
      </c>
      <c r="C21" s="60">
        <v>15.0</v>
      </c>
      <c r="D21" s="62">
        <v>0.0</v>
      </c>
    </row>
    <row r="22" ht="15.75" customHeight="1">
      <c r="A22" s="60">
        <v>21.0</v>
      </c>
      <c r="B22" s="63">
        <f t="shared" si="1"/>
        <v>15</v>
      </c>
      <c r="C22" s="60">
        <v>15.0</v>
      </c>
      <c r="D22" s="62">
        <v>0.0</v>
      </c>
    </row>
    <row r="23" ht="15.75" customHeight="1">
      <c r="A23" s="60">
        <v>22.0</v>
      </c>
      <c r="B23" s="63">
        <f t="shared" si="1"/>
        <v>15</v>
      </c>
      <c r="C23" s="60">
        <v>15.0</v>
      </c>
      <c r="D23" s="62">
        <v>0.0</v>
      </c>
    </row>
    <row r="24" ht="15.75" customHeight="1">
      <c r="A24" s="60">
        <v>23.0</v>
      </c>
      <c r="B24" s="63">
        <f t="shared" si="1"/>
        <v>10</v>
      </c>
      <c r="C24" s="60">
        <v>10.0</v>
      </c>
      <c r="D24" s="62">
        <v>0.0</v>
      </c>
    </row>
    <row r="25" ht="15.75" customHeight="1">
      <c r="A25" s="60">
        <v>24.0</v>
      </c>
      <c r="B25" s="63">
        <f t="shared" si="1"/>
        <v>5</v>
      </c>
      <c r="C25" s="60">
        <v>5.0</v>
      </c>
      <c r="D25" s="62">
        <v>0.0</v>
      </c>
    </row>
    <row r="26" ht="15.75" customHeight="1">
      <c r="A26" s="60">
        <v>25.0</v>
      </c>
      <c r="B26" s="53">
        <f t="shared" si="1"/>
        <v>15</v>
      </c>
      <c r="C26" s="61">
        <v>15.0</v>
      </c>
      <c r="D26" s="62">
        <v>0.0</v>
      </c>
    </row>
    <row r="27" ht="15.75" customHeight="1">
      <c r="A27" s="60">
        <v>26.0</v>
      </c>
      <c r="B27" s="53">
        <f t="shared" si="1"/>
        <v>30</v>
      </c>
      <c r="C27" s="61">
        <v>0.0</v>
      </c>
      <c r="D27" s="62">
        <v>30.0</v>
      </c>
    </row>
    <row r="28" ht="15.75" customHeight="1">
      <c r="A28" s="60">
        <v>27.0</v>
      </c>
      <c r="B28" s="53">
        <f t="shared" si="1"/>
        <v>5</v>
      </c>
      <c r="C28" s="61">
        <v>0.0</v>
      </c>
      <c r="D28" s="62">
        <v>5.0</v>
      </c>
    </row>
    <row r="29" ht="15.75" customHeight="1">
      <c r="A29" s="64">
        <v>28.0</v>
      </c>
      <c r="C29" s="65">
        <v>30.0</v>
      </c>
    </row>
    <row r="30" ht="15.75" customHeight="1">
      <c r="A30" s="6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