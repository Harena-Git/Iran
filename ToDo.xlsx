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Cours\Web_Avance_Mr_Rojo\Examen\Iran\"/>
    </mc:Choice>
  </mc:AlternateContent>
  <xr:revisionPtr revIDLastSave="0" documentId="13_ncr:1_{E4C602C5-A6AC-47AE-AA47-AB353195EB5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2" i="5"/>
  <c r="B4" i="5"/>
  <c r="I4" i="2" s="1"/>
  <c r="J4" i="2" s="1"/>
  <c r="B10" i="5"/>
  <c r="B9" i="5"/>
  <c r="B8" i="5"/>
  <c r="B7" i="5"/>
  <c r="B6" i="5"/>
  <c r="B5" i="5"/>
  <c r="B3" i="5"/>
  <c r="A2" i="4"/>
  <c r="I10" i="2"/>
  <c r="J10" i="2" s="1"/>
  <c r="K10" i="2" s="1"/>
  <c r="I9" i="2"/>
  <c r="I8" i="2"/>
  <c r="J7" i="2"/>
  <c r="I7" i="2"/>
  <c r="K7" i="2" s="1"/>
  <c r="I6" i="2"/>
  <c r="J5" i="2"/>
  <c r="K5" i="2" s="1"/>
  <c r="I5" i="2"/>
  <c r="I3" i="2"/>
  <c r="J3" i="2" s="1"/>
  <c r="J2" i="2"/>
  <c r="B2" i="4" l="1"/>
  <c r="C2" i="4"/>
  <c r="C3" i="4" s="1"/>
  <c r="K3" i="2"/>
  <c r="J6" i="2"/>
  <c r="E2" i="4" l="1"/>
  <c r="D2" i="4"/>
</calcChain>
</file>

<file path=xl/sharedStrings.xml><?xml version="1.0" encoding="utf-8"?>
<sst xmlns="http://schemas.openxmlformats.org/spreadsheetml/2006/main" count="88" uniqueCount="47">
  <si>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</si>
  <si>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</si>
  <si>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</si>
  <si>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</si>
  <si>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</si>
  <si>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</si>
  <si>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</si>
  <si>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</si>
  <si>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</si>
  <si>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</si>
  <si>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</si>
  <si>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</si>
  <si>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article</t>
  </si>
  <si>
    <t>Article-add</t>
  </si>
  <si>
    <t>Ajout article : code html + images + articles references</t>
  </si>
  <si>
    <t>Affichage</t>
  </si>
  <si>
    <t>Traitement-add</t>
  </si>
  <si>
    <t>Conversion en html avec tinymce</t>
  </si>
  <si>
    <t>Metier</t>
  </si>
  <si>
    <t>Upload images</t>
  </si>
  <si>
    <t>Ajout article : code html en base +articles references en base</t>
  </si>
  <si>
    <t>Appelle de fonctions du DAO</t>
  </si>
  <si>
    <t>Integration</t>
  </si>
  <si>
    <t>Gestion Categorie</t>
  </si>
  <si>
    <t>Categorie</t>
  </si>
  <si>
    <t>Liste</t>
  </si>
  <si>
    <t>Categorie-add</t>
  </si>
  <si>
    <t>Ajout</t>
  </si>
  <si>
    <t>ETU00YYYY</t>
  </si>
  <si>
    <t>Base</t>
  </si>
  <si>
    <t>SUM of Estimation</t>
  </si>
  <si>
    <t>SUM of Temps passé</t>
  </si>
  <si>
    <t>SUM of Reste à faire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</si>
  <si>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</si>
  <si>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</si>
  <si>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</si>
  <si>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</si>
  <si>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</si>
  <si>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</si>
  <si>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</si>
  <si>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</si>
  <si>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(blank)</t>
  </si>
  <si>
    <t>Grand Total</t>
  </si>
  <si>
    <t>ETU003268</t>
  </si>
  <si>
    <t>Harena</t>
  </si>
  <si>
    <t>ETU003310</t>
  </si>
  <si>
    <t>Fifaliana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</si>
</sst>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</font>
    <font>
      <sz val="10"/>
      <color theme="1"/>
      <name val="Liberation Serif"/>
    </font>
    <font>
      <b/>
      <sz val="10"/>
      <color theme="1"/>
      <name val="Arial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0" borderId="0" xfId="0" applyFont="1"/>
    <xf numFmtId="0" fontId="6" fillId="3" borderId="0" xfId="0" applyFont="1" applyFill="1"/>
    <xf numFmtId="10" fontId="6" fillId="3" borderId="0" xfId="0" applyNumberFormat="1" applyFont="1" applyFill="1"/>
    <xf numFmtId="0" fontId="7" fillId="4" borderId="2" xfId="0" applyFont="1" applyFill="1" applyBorder="1"/>
    <xf numFmtId="0" fontId="8" fillId="0" borderId="0" xfId="0" applyFont="1" applyAlignment="1">
      <alignment horizontal="right"/>
    </xf>
    <xf numFmtId="10" fontId="8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0" fontId="8" fillId="0" borderId="0" xfId="0" applyFont="1"/>
    <xf numFmtId="0" fontId="9" fillId="4" borderId="0" xfId="0" applyFont="1" applyFill="1"/>
    <xf numFmtId="0" fontId="9" fillId="0" borderId="0" xfId="0" applyFont="1"/>
    <xf numFmtId="164" fontId="9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arena" refreshedDate="46111.366460532408" refreshedVersion="8" recordCount="19" xr:uid="{00000000-000A-0000-FFFF-FFFF00000000}">
  <cacheSource type="worksheet">
    <worksheetSource ref="B1:K20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4">
        <s v="ETU003260"/>
        <s v="ETU00WWWW"/>
        <s v="ETU00YYYY"/>
        <m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String="0" containsBlank="1" containsNumber="1" containsInteger="1" minValue="0" maxValue="90"/>
    </cacheField>
    <cacheField name="Reste à faire" numFmtId="0">
      <sharedItems containsString="0" containsBlank="1" containsNumber="1" containsInteger="1" minValue="0" maxValue="40"/>
    </cacheField>
    <cacheField name="Avancement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Backoffice"/>
    <s v="Gestion article"/>
    <s v="Article-add"/>
    <s v="Ajout article : code html + images + articles references"/>
    <s v="Affichage"/>
    <x v="0"/>
    <n v="10"/>
    <n v="10"/>
    <n v="0"/>
    <n v="1"/>
  </r>
  <r>
    <s v="Backoffice"/>
    <s v="Gestion article"/>
    <s v="Traitement-add"/>
    <s v="Conversion en html avec tinymce"/>
    <s v="Metier"/>
    <x v="0"/>
    <n v="20"/>
    <n v="0"/>
    <n v="20"/>
    <n v="0"/>
  </r>
  <r>
    <s v="Backoffice"/>
    <s v="Gestion article"/>
    <s v="Traitement-add"/>
    <s v="Upload images"/>
    <s v="Metier"/>
    <x v="0"/>
    <n v="30"/>
    <n v="10"/>
    <n v="20"/>
    <n v="0.33333333333333331"/>
  </r>
  <r>
    <s v="Backoffice"/>
    <s v="Gestion article"/>
    <s v="Traitement-add"/>
    <s v="Ajout article : code html en base +articles references en base"/>
    <s v="Metier"/>
    <x v="0"/>
    <n v="10"/>
    <n v="0"/>
    <n v="10"/>
    <n v="0"/>
  </r>
  <r>
    <s v="Backoffice"/>
    <s v="Gestion article"/>
    <s v="Article-add"/>
    <s v="Appelle de fonctions du DAO"/>
    <s v="Integration"/>
    <x v="0"/>
    <n v="50"/>
    <n v="10"/>
    <n v="40"/>
    <n v="0.2"/>
  </r>
  <r>
    <s v="Backoffice"/>
    <s v="Gestion Categorie"/>
    <s v="Categorie"/>
    <s v="Liste"/>
    <s v="Integration"/>
    <x v="1"/>
    <n v="25"/>
    <n v="0"/>
    <n v="25"/>
    <n v="0"/>
  </r>
  <r>
    <s v="Backoffice"/>
    <s v="Gestion Categorie"/>
    <s v="Categorie-add"/>
    <s v="Ajout"/>
    <s v="Affichage"/>
    <x v="2"/>
    <n v="10"/>
    <n v="90"/>
    <n v="0"/>
    <n v="1"/>
  </r>
  <r>
    <s v="Backoffice"/>
    <s v="Gestion Categorie"/>
    <s v="Categorie-add"/>
    <s v="Ajout"/>
    <s v="Metier"/>
    <x v="1"/>
    <n v="5"/>
    <n v="30"/>
    <n v="0"/>
    <n v="1"/>
  </r>
  <r>
    <s v="Backoffice"/>
    <s v="Gestion Categorie"/>
    <s v="Categorie-add"/>
    <s v="Ajout"/>
    <s v="Base"/>
    <x v="1"/>
    <n v="5"/>
    <n v="0"/>
    <n v="5"/>
    <n v="0"/>
  </r>
  <r>
    <m/>
    <m/>
    <m/>
    <m/>
    <m/>
    <x v="3"/>
    <m/>
    <m/>
    <m/>
    <m/>
  </r>
  <r>
    <m/>
    <m/>
    <m/>
    <m/>
    <m/>
    <x v="3"/>
    <m/>
    <m/>
    <m/>
    <m/>
  </r>
  <r>
    <m/>
    <m/>
    <m/>
    <m/>
    <m/>
    <x v="3"/>
    <m/>
    <m/>
    <m/>
    <m/>
  </r>
  <r>
    <m/>
    <m/>
    <m/>
    <m/>
    <m/>
    <x v="3"/>
    <m/>
    <m/>
    <m/>
    <m/>
  </r>
  <r>
    <m/>
    <m/>
    <m/>
    <m/>
    <m/>
    <x v="3"/>
    <m/>
    <m/>
    <m/>
    <m/>
  </r>
  <r>
    <m/>
    <m/>
    <m/>
    <m/>
    <m/>
    <x v="3"/>
    <m/>
    <m/>
    <m/>
    <m/>
  </r>
  <r>
    <m/>
    <m/>
    <m/>
    <m/>
    <m/>
    <x v="3"/>
    <m/>
    <m/>
    <m/>
    <m/>
  </r>
  <r>
    <m/>
    <m/>
    <m/>
    <m/>
    <m/>
    <x v="3"/>
    <m/>
    <m/>
    <m/>
    <m/>
  </r>
  <r>
    <m/>
    <m/>
    <m/>
    <m/>
    <m/>
    <x v="3"/>
    <m/>
    <m/>
    <m/>
    <m/>
  </r>
  <r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7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5">
        <item n="ETU003268" x="0"/>
        <item n="ETU003310" x="1"/>
        <item x="2"/>
        <item x="3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>
      <selection activeCell="B2" sqref="B2"/>
    </sheetView>
  </sheetViews>
  <sheetFormatPr defaultColWidth="12.6328125" defaultRowHeight="15" customHeight="1"/>
  <cols>
    <col min="1" max="6" width="12.6328125" customWidth="1"/>
  </cols>
  <sheetData>
    <row r="1" spans="1:2" ht="15.75" customHeight="1">
      <c r="A1" s="1" t="s">
        <v>43</v>
      </c>
      <c r="B1" s="1" t="s">
        <v>44</v>
      </c>
    </row>
    <row r="2" spans="1:2" ht="15.75" customHeight="1">
      <c r="A2" s="1" t="s">
        <v>45</v>
      </c>
      <c r="B2" s="1" t="s">
        <v>46</v>
      </c>
    </row>
    <row r="3" spans="1:2" ht="15.75" customHeight="1">
      <c r="A3" s="1"/>
      <c r="B3" s="1"/>
    </row>
    <row r="4" spans="1:2" ht="15.75" customHeight="1">
      <c r="A4" s="1"/>
      <c r="B4" s="1"/>
    </row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opLeftCell="C1" workbookViewId="0">
      <selection activeCell="G12" sqref="G12"/>
    </sheetView>
  </sheetViews>
  <sheetFormatPr defaultColWidth="12.6328125" defaultRowHeight="15" customHeight="1"/>
  <cols>
    <col min="1" max="1" width="5.90625" customWidth="1"/>
    <col min="2" max="2" width="19" customWidth="1"/>
    <col min="3" max="3" width="18" customWidth="1"/>
    <col min="4" max="4" width="12.6328125" customWidth="1"/>
    <col min="5" max="5" width="59.08984375" customWidth="1"/>
    <col min="6" max="6" width="12.6328125" customWidth="1"/>
  </cols>
  <sheetData>
    <row r="1" spans="1:11" ht="15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5.75" customHeight="1">
      <c r="A2" s="5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39" t="s">
        <v>43</v>
      </c>
      <c r="H2" s="5">
        <v>10</v>
      </c>
      <c r="I2" s="7">
        <v>10</v>
      </c>
      <c r="J2" s="7">
        <f t="shared" ref="J2:J7" si="0">H2-I2</f>
        <v>0</v>
      </c>
      <c r="K2" s="8">
        <v>0</v>
      </c>
    </row>
    <row r="3" spans="1:11" ht="15.75" customHeight="1">
      <c r="A3" s="5">
        <v>2</v>
      </c>
      <c r="B3" s="5" t="s">
        <v>11</v>
      </c>
      <c r="C3" s="5" t="s">
        <v>12</v>
      </c>
      <c r="D3" s="5" t="s">
        <v>16</v>
      </c>
      <c r="E3" s="5" t="s">
        <v>17</v>
      </c>
      <c r="F3" s="6" t="s">
        <v>18</v>
      </c>
      <c r="G3" s="39" t="s">
        <v>43</v>
      </c>
      <c r="H3" s="5">
        <v>20</v>
      </c>
      <c r="I3" s="7">
        <f>detail_avancement!B3</f>
        <v>0</v>
      </c>
      <c r="J3" s="7">
        <f t="shared" si="0"/>
        <v>20</v>
      </c>
      <c r="K3" s="8">
        <f t="shared" ref="K2:K10" si="1">(I3/(I3+J3))</f>
        <v>0</v>
      </c>
    </row>
    <row r="4" spans="1:11" ht="15.75" customHeight="1">
      <c r="A4" s="5">
        <v>3</v>
      </c>
      <c r="B4" s="5" t="s">
        <v>11</v>
      </c>
      <c r="C4" s="5" t="s">
        <v>12</v>
      </c>
      <c r="D4" s="5" t="s">
        <v>16</v>
      </c>
      <c r="E4" s="5" t="s">
        <v>19</v>
      </c>
      <c r="F4" s="6" t="s">
        <v>18</v>
      </c>
      <c r="G4" s="39" t="s">
        <v>43</v>
      </c>
      <c r="H4" s="5">
        <v>30</v>
      </c>
      <c r="I4" s="7">
        <f>detail_avancement!B4</f>
        <v>10</v>
      </c>
      <c r="J4" s="7">
        <f t="shared" si="0"/>
        <v>20</v>
      </c>
      <c r="K4" s="8">
        <v>0</v>
      </c>
    </row>
    <row r="5" spans="1:11" ht="15.75" customHeight="1">
      <c r="A5" s="5">
        <v>4</v>
      </c>
      <c r="B5" s="5" t="s">
        <v>11</v>
      </c>
      <c r="C5" s="5" t="s">
        <v>12</v>
      </c>
      <c r="D5" s="5" t="s">
        <v>16</v>
      </c>
      <c r="E5" s="5" t="s">
        <v>20</v>
      </c>
      <c r="F5" s="5" t="s">
        <v>18</v>
      </c>
      <c r="G5" s="39" t="s">
        <v>43</v>
      </c>
      <c r="H5" s="5">
        <v>10</v>
      </c>
      <c r="I5" s="7">
        <f>detail_avancement!B5</f>
        <v>0</v>
      </c>
      <c r="J5" s="7">
        <f t="shared" si="0"/>
        <v>10</v>
      </c>
      <c r="K5" s="8">
        <f t="shared" si="1"/>
        <v>0</v>
      </c>
    </row>
    <row r="6" spans="1:11" ht="15.75" customHeight="1">
      <c r="A6" s="5">
        <v>5</v>
      </c>
      <c r="B6" s="5" t="s">
        <v>11</v>
      </c>
      <c r="C6" s="5" t="s">
        <v>12</v>
      </c>
      <c r="D6" s="5" t="s">
        <v>13</v>
      </c>
      <c r="E6" s="5" t="s">
        <v>21</v>
      </c>
      <c r="F6" s="5" t="s">
        <v>22</v>
      </c>
      <c r="G6" s="39" t="s">
        <v>43</v>
      </c>
      <c r="H6" s="5">
        <v>50</v>
      </c>
      <c r="I6" s="7">
        <f>detail_avancement!B6</f>
        <v>10</v>
      </c>
      <c r="J6" s="7">
        <f t="shared" si="0"/>
        <v>40</v>
      </c>
      <c r="K6" s="8">
        <v>0</v>
      </c>
    </row>
    <row r="7" spans="1:11" ht="15.75" customHeight="1">
      <c r="A7" s="5">
        <v>6</v>
      </c>
      <c r="B7" s="5" t="s">
        <v>11</v>
      </c>
      <c r="C7" s="6" t="s">
        <v>23</v>
      </c>
      <c r="D7" s="5" t="s">
        <v>24</v>
      </c>
      <c r="E7" s="6" t="s">
        <v>25</v>
      </c>
      <c r="F7" s="6" t="s">
        <v>22</v>
      </c>
      <c r="G7" s="39" t="s">
        <v>45</v>
      </c>
      <c r="H7" s="5">
        <v>25</v>
      </c>
      <c r="I7" s="7">
        <f>detail_avancement!B7</f>
        <v>0</v>
      </c>
      <c r="J7" s="7">
        <f t="shared" si="0"/>
        <v>25</v>
      </c>
      <c r="K7" s="8">
        <f t="shared" si="1"/>
        <v>0</v>
      </c>
    </row>
    <row r="8" spans="1:11" ht="15.75" customHeight="1">
      <c r="A8" s="5">
        <v>7</v>
      </c>
      <c r="B8" s="5" t="s">
        <v>11</v>
      </c>
      <c r="C8" s="6" t="s">
        <v>23</v>
      </c>
      <c r="D8" s="5" t="s">
        <v>26</v>
      </c>
      <c r="E8" s="6" t="s">
        <v>27</v>
      </c>
      <c r="F8" s="6" t="s">
        <v>15</v>
      </c>
      <c r="G8" s="39" t="s">
        <v>45</v>
      </c>
      <c r="H8" s="5">
        <v>10</v>
      </c>
      <c r="I8" s="7">
        <f>detail_avancement!B8</f>
        <v>90</v>
      </c>
      <c r="J8" s="7">
        <v>0</v>
      </c>
      <c r="K8" s="8">
        <v>0</v>
      </c>
    </row>
    <row r="9" spans="1:11" ht="15.75" customHeight="1">
      <c r="A9" s="5">
        <v>8</v>
      </c>
      <c r="B9" s="5" t="s">
        <v>11</v>
      </c>
      <c r="C9" s="6" t="s">
        <v>23</v>
      </c>
      <c r="D9" s="5" t="s">
        <v>26</v>
      </c>
      <c r="E9" s="6" t="s">
        <v>27</v>
      </c>
      <c r="F9" s="6" t="s">
        <v>18</v>
      </c>
      <c r="G9" s="39" t="s">
        <v>45</v>
      </c>
      <c r="H9" s="5">
        <v>5</v>
      </c>
      <c r="I9" s="7">
        <f>detail_avancement!B9</f>
        <v>30</v>
      </c>
      <c r="J9" s="7">
        <v>0</v>
      </c>
      <c r="K9" s="8">
        <v>0</v>
      </c>
    </row>
    <row r="10" spans="1:11" ht="15.75" customHeight="1">
      <c r="A10" s="5">
        <v>9</v>
      </c>
      <c r="B10" s="5" t="s">
        <v>11</v>
      </c>
      <c r="C10" s="6" t="s">
        <v>23</v>
      </c>
      <c r="D10" s="5" t="s">
        <v>26</v>
      </c>
      <c r="E10" s="6" t="s">
        <v>27</v>
      </c>
      <c r="F10" s="5" t="s">
        <v>29</v>
      </c>
      <c r="G10" s="39" t="s">
        <v>45</v>
      </c>
      <c r="H10" s="5">
        <v>5</v>
      </c>
      <c r="I10" s="7">
        <f>detail_avancement!B10</f>
        <v>0</v>
      </c>
      <c r="J10" s="7">
        <f>H10-I10</f>
        <v>5</v>
      </c>
      <c r="K10" s="8">
        <f t="shared" si="1"/>
        <v>0</v>
      </c>
    </row>
    <row r="11" spans="1: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showGridLines="0" tabSelected="1" workbookViewId="0">
      <selection activeCell="C9" sqref="C9"/>
    </sheetView>
  </sheetViews>
  <sheetFormatPr defaultColWidth="12.6328125" defaultRowHeight="15" customHeight="1"/>
  <cols>
    <col min="1" max="6" width="12.6328125" customWidth="1"/>
  </cols>
  <sheetData>
    <row r="1" spans="1:4" ht="15.75" customHeight="1">
      <c r="A1" s="22"/>
      <c r="B1" s="23" t="s">
        <v>40</v>
      </c>
      <c r="C1" s="24"/>
      <c r="D1" s="25"/>
    </row>
    <row r="2" spans="1:4" ht="15.75" customHeight="1">
      <c r="A2" s="23" t="s">
        <v>6</v>
      </c>
      <c r="B2" s="22" t="s">
        <v>30</v>
      </c>
      <c r="C2" s="26" t="s">
        <v>31</v>
      </c>
      <c r="D2" s="27" t="s">
        <v>32</v>
      </c>
    </row>
    <row r="3" spans="1:4" ht="15.75" customHeight="1">
      <c r="A3" s="22" t="s">
        <v>43</v>
      </c>
      <c r="B3" s="28">
        <v>120</v>
      </c>
      <c r="C3" s="29">
        <v>30</v>
      </c>
      <c r="D3" s="30">
        <v>90</v>
      </c>
    </row>
    <row r="4" spans="1:4" ht="15.75" customHeight="1">
      <c r="A4" s="31" t="s">
        <v>45</v>
      </c>
      <c r="B4" s="32">
        <v>35</v>
      </c>
      <c r="C4" s="33">
        <v>30</v>
      </c>
      <c r="D4" s="34">
        <v>30</v>
      </c>
    </row>
    <row r="5" spans="1:4" ht="15.75" customHeight="1">
      <c r="A5" s="31" t="s">
        <v>28</v>
      </c>
      <c r="B5" s="32">
        <v>10</v>
      </c>
      <c r="C5" s="33">
        <v>90</v>
      </c>
      <c r="D5" s="34">
        <v>0</v>
      </c>
    </row>
    <row r="6" spans="1:4" ht="15.75" customHeight="1">
      <c r="A6" s="31" t="s">
        <v>41</v>
      </c>
      <c r="B6" s="32"/>
      <c r="C6" s="33"/>
      <c r="D6" s="34"/>
    </row>
    <row r="7" spans="1:4" ht="15.75" customHeight="1">
      <c r="A7" s="35" t="s">
        <v>42</v>
      </c>
      <c r="B7" s="36">
        <v>165</v>
      </c>
      <c r="C7" s="37">
        <v>150</v>
      </c>
      <c r="D7" s="38">
        <v>120</v>
      </c>
    </row>
    <row r="8" spans="1:4" ht="15.75" customHeight="1"/>
    <row r="9" spans="1:4" ht="15.75" customHeight="1"/>
    <row r="10" spans="1:4" ht="15.75" customHeight="1"/>
    <row r="11" spans="1:4" ht="15.75" customHeight="1"/>
    <row r="12" spans="1:4" ht="15.75" customHeight="1">
      <c r="A12" s="10" t="s">
        <v>10</v>
      </c>
      <c r="B12" s="11">
        <f>avancement!D2</f>
        <v>0.55555555555555558</v>
      </c>
    </row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328125" defaultRowHeight="15" customHeight="1"/>
  <cols>
    <col min="1" max="1" width="15.7265625" customWidth="1"/>
    <col min="2" max="2" width="17.90625" customWidth="1"/>
    <col min="3" max="3" width="17" customWidth="1"/>
    <col min="4" max="4" width="18.26953125" customWidth="1"/>
    <col min="5" max="5" width="13.7265625" customWidth="1"/>
    <col min="6" max="6" width="12.6328125" customWidth="1"/>
  </cols>
  <sheetData>
    <row r="1" spans="1:5" ht="15.75" customHeight="1">
      <c r="A1" s="12" t="s">
        <v>33</v>
      </c>
      <c r="B1" s="12" t="s">
        <v>34</v>
      </c>
      <c r="C1" s="12" t="s">
        <v>35</v>
      </c>
      <c r="D1" s="12" t="s">
        <v>36</v>
      </c>
      <c r="E1" s="12" t="s">
        <v>37</v>
      </c>
    </row>
    <row r="2" spans="1:5" ht="15.75" customHeight="1">
      <c r="A2" s="13">
        <f>SUM('liste des taches'!H:H)</f>
        <v>165</v>
      </c>
      <c r="B2" s="13">
        <f>SUM('liste des taches'!I:I)</f>
        <v>150</v>
      </c>
      <c r="C2" s="13">
        <f>SUM('liste des taches'!J:J)</f>
        <v>120</v>
      </c>
      <c r="D2" s="14">
        <f>(B2/(B2+C2))</f>
        <v>0.55555555555555558</v>
      </c>
      <c r="E2" s="15">
        <f>((B2+C2)-A2)/A2</f>
        <v>0.63636363636363635</v>
      </c>
    </row>
    <row r="3" spans="1:5" ht="15.75" customHeight="1">
      <c r="A3" s="16"/>
      <c r="B3" s="16"/>
      <c r="C3" s="13">
        <f>C2/60</f>
        <v>2</v>
      </c>
      <c r="D3" s="16" t="s">
        <v>38</v>
      </c>
      <c r="E3" s="16"/>
    </row>
    <row r="4" spans="1:5" ht="15.75" customHeight="1"/>
    <row r="5" spans="1:5" ht="15.75" customHeight="1"/>
    <row r="6" spans="1:5" ht="15.75" customHeight="1"/>
    <row r="7" spans="1:5" ht="15.75" customHeight="1"/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>
      <selection activeCell="E10" sqref="E10"/>
    </sheetView>
  </sheetViews>
  <sheetFormatPr defaultColWidth="12.6328125" defaultRowHeight="15" customHeight="1"/>
  <cols>
    <col min="1" max="6" width="12.6328125" customWidth="1"/>
  </cols>
  <sheetData>
    <row r="1" spans="1:5" ht="15.75" customHeight="1">
      <c r="A1" s="17" t="s">
        <v>0</v>
      </c>
      <c r="B1" s="18" t="s">
        <v>39</v>
      </c>
      <c r="C1" s="19">
        <v>46111</v>
      </c>
      <c r="D1" s="19">
        <v>46112</v>
      </c>
      <c r="E1" s="19"/>
    </row>
    <row r="2" spans="1:5" ht="15.75" customHeight="1">
      <c r="A2" s="20">
        <v>1</v>
      </c>
      <c r="B2" s="13">
        <f t="shared" ref="B2:B10" si="0">SUM(D2:P2)</f>
        <v>20</v>
      </c>
      <c r="C2" s="16"/>
      <c r="D2" s="20">
        <v>20</v>
      </c>
      <c r="E2" s="16"/>
    </row>
    <row r="3" spans="1:5" ht="15.75" customHeight="1">
      <c r="A3" s="20">
        <v>2</v>
      </c>
      <c r="B3" s="13">
        <f t="shared" si="0"/>
        <v>0</v>
      </c>
      <c r="C3" s="16"/>
      <c r="D3" s="16"/>
      <c r="E3" s="16"/>
    </row>
    <row r="4" spans="1:5" ht="15.75" customHeight="1">
      <c r="A4" s="20">
        <v>3</v>
      </c>
      <c r="B4" s="13">
        <f t="shared" si="0"/>
        <v>10</v>
      </c>
      <c r="C4" s="20">
        <v>20</v>
      </c>
      <c r="D4" s="20">
        <v>10</v>
      </c>
      <c r="E4" s="16"/>
    </row>
    <row r="5" spans="1:5" ht="15.75" customHeight="1">
      <c r="A5" s="20">
        <v>4</v>
      </c>
      <c r="B5" s="13">
        <f t="shared" si="0"/>
        <v>0</v>
      </c>
      <c r="C5" s="16"/>
      <c r="D5" s="16"/>
      <c r="E5" s="16"/>
    </row>
    <row r="6" spans="1:5" ht="15.75" customHeight="1">
      <c r="A6" s="20">
        <v>5</v>
      </c>
      <c r="B6" s="13">
        <f t="shared" si="0"/>
        <v>10</v>
      </c>
      <c r="C6" s="16"/>
      <c r="D6" s="21">
        <v>10</v>
      </c>
      <c r="E6" s="16"/>
    </row>
    <row r="7" spans="1:5" ht="15.75" customHeight="1">
      <c r="A7" s="20">
        <v>6</v>
      </c>
      <c r="B7" s="13">
        <f t="shared" si="0"/>
        <v>0</v>
      </c>
      <c r="C7" s="16"/>
      <c r="D7" s="16"/>
      <c r="E7" s="16"/>
    </row>
    <row r="8" spans="1:5" ht="15.75" customHeight="1">
      <c r="A8" s="20">
        <v>7</v>
      </c>
      <c r="B8" s="13">
        <f t="shared" si="0"/>
        <v>90</v>
      </c>
      <c r="C8" s="16"/>
      <c r="D8" s="21">
        <v>90</v>
      </c>
      <c r="E8" s="16"/>
    </row>
    <row r="9" spans="1:5" ht="15.75" customHeight="1">
      <c r="A9" s="1">
        <v>8</v>
      </c>
      <c r="B9" s="13">
        <f t="shared" si="0"/>
        <v>30</v>
      </c>
      <c r="D9" s="1">
        <v>30</v>
      </c>
    </row>
    <row r="10" spans="1:5" ht="15.75" customHeight="1">
      <c r="A10" s="1">
        <v>9</v>
      </c>
      <c r="B10" s="13">
        <f t="shared" si="0"/>
        <v>0</v>
      </c>
    </row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Harena Faniriantsoa</cp:lastModifiedBy>
  <dcterms:modified xsi:type="dcterms:W3CDTF">2026-03-30T05:55:23Z</dcterms:modified>
</cp:coreProperties>
</file>